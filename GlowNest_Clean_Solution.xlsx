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1 - Viability Analysis" sheetId="1" state="visible" r:id="rId3"/>
    <sheet name="Task 2 - Dynamic Model" sheetId="2" state="visible" r:id="rId4"/>
    <sheet name="Task 3A - Status Update" sheetId="3" state="visible" r:id="rId5"/>
    <sheet name="Task 3B - MD Talking Point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<sst xmlns="http://schemas.openxmlformats.org/spreadsheetml/2006/main" count="260" uniqueCount="215">
  <si>
    <t xml:space="preserve">Task 1 — GlowNest Campaign Viability Analysis</t>
  </si>
  <si>
    <t xml:space="preserve">Blue cells = inputs you can change   |   Other cells = formulas (do not edit)</t>
  </si>
  <si>
    <t xml:space="preserve">INPUTS</t>
  </si>
  <si>
    <t xml:space="preserve">Parameter</t>
  </si>
  <si>
    <t xml:space="preserve">Value</t>
  </si>
  <si>
    <t xml:space="preserve">Note</t>
  </si>
  <si>
    <t xml:space="preserve">Selling Price (SP)</t>
  </si>
  <si>
    <t xml:space="preserve">What Amazon lists the product at</t>
  </si>
  <si>
    <t xml:space="preserve">Cost of Goods Sold (COGS)</t>
  </si>
  <si>
    <t xml:space="preserve">Cost to make + ship to Amazon warehouse</t>
  </si>
  <si>
    <t xml:space="preserve">Amazon Referral Fee %</t>
  </si>
  <si>
    <t xml:space="preserve">Amazon charges 12% on every sale</t>
  </si>
  <si>
    <t xml:space="preserve">Monthly Ad Spend</t>
  </si>
  <si>
    <t xml:space="preserve">Total rupees paid to Amazon Ads this month</t>
  </si>
  <si>
    <t xml:space="preserve">Ad Units (monthly)</t>
  </si>
  <si>
    <t xml:space="preserve">Sales that came through a paid ad click</t>
  </si>
  <si>
    <t xml:space="preserve">Organic Units (monthly)</t>
  </si>
  <si>
    <t xml:space="preserve">Sales with no ad involved — free traffic</t>
  </si>
  <si>
    <t xml:space="preserve">Fixed Costs (monthly)</t>
  </si>
  <si>
    <t xml:space="preserve">Warehouse + team + tools</t>
  </si>
  <si>
    <t xml:space="preserve">Q1 — Unit Economics</t>
  </si>
  <si>
    <t xml:space="preserve">Metric</t>
  </si>
  <si>
    <t xml:space="preserve">Formula</t>
  </si>
  <si>
    <t xml:space="preserve">Answer</t>
  </si>
  <si>
    <t xml:space="preserve">What it means</t>
  </si>
  <si>
    <t xml:space="preserve">Gross Margin / unit</t>
  </si>
  <si>
    <t xml:space="preserve">Revenue left after making the product. Everything else comes out of here.</t>
  </si>
  <si>
    <t xml:space="preserve">Amazon Fee / unit</t>
  </si>
  <si>
    <t xml:space="preserve">Amazon takes this on every sale, no exceptions.</t>
  </si>
  <si>
    <t xml:space="preserve">Ad Cost / unit</t>
  </si>
  <si>
    <t xml:space="preserve">How much we spent on ads to generate one sale.</t>
  </si>
  <si>
    <t xml:space="preserve">Net Margin — Ad unit</t>
  </si>
  <si>
    <t xml:space="preserve">Profit per ad-driven sale after all variable costs. Still positive, so ads are working.</t>
  </si>
  <si>
    <t xml:space="preserve">Net Margin — Organic</t>
  </si>
  <si>
    <t xml:space="preserve">No ad cost here. Almost double the ad unit margin — organic sales are much better for us.</t>
  </si>
  <si>
    <t xml:space="preserve">Q2 — Monthly Profitability</t>
  </si>
  <si>
    <t xml:space="preserve">Line</t>
  </si>
  <si>
    <t xml:space="preserve">Amount</t>
  </si>
  <si>
    <t xml:space="preserve">Ad Revenue</t>
  </si>
  <si>
    <t xml:space="preserve">1,500 units × ₹800</t>
  </si>
  <si>
    <t xml:space="preserve">Organic Revenue</t>
  </si>
  <si>
    <t xml:space="preserve">2,000 units × ₹800</t>
  </si>
  <si>
    <t xml:space="preserve">Total Revenue</t>
  </si>
  <si>
    <t xml:space="preserve">Profit from Ad Sales</t>
  </si>
  <si>
    <t xml:space="preserve">Net margin per ad unit × 1,500</t>
  </si>
  <si>
    <t xml:space="preserve">Profit from Organic Sales</t>
  </si>
  <si>
    <t xml:space="preserve">Net margin per organic unit × 2,000</t>
  </si>
  <si>
    <t xml:space="preserve">Less: Fixed Costs</t>
  </si>
  <si>
    <t xml:space="preserve">NET MONTHLY PROFIT</t>
  </si>
  <si>
    <t xml:space="preserve">Q3 — ACOS and TACOS</t>
  </si>
  <si>
    <t xml:space="preserve">Healthy?</t>
  </si>
  <si>
    <t xml:space="preserve">ACOS</t>
  </si>
  <si>
    <t xml:space="preserve">25% — healthy. Break-even is 53%, so we have a 28-point buffer before ad sales lose money.</t>
  </si>
  <si>
    <t xml:space="preserve">TACOS</t>
  </si>
  <si>
    <t xml:space="preserve">10.7% — very good. Organic carries 57% of volume so the total ad burden is low.</t>
  </si>
  <si>
    <t xml:space="preserve">Break-Even ACOS (unit level)</t>
  </si>
  <si>
    <t xml:space="preserve">53% — this is the max ACOS before each individual ad sale stops making money.</t>
  </si>
  <si>
    <t xml:space="preserve">Q4 — Break-Even Ad Spend</t>
  </si>
  <si>
    <t xml:space="preserve">Logic: set monthly profit = 0 and solve for Ad Spend (X).  [(GM − Fee − X/AdUnits) × AdUnits] + [(GM − Fee) × OrgUnits] − FixedCosts = 0  →  X = (GM − Fee) × (AdUnits + OrgUnits) − FixedCosts</t>
  </si>
  <si>
    <t xml:space="preserve">Why ACOS &gt; 100%? Because organic profit (₹8,48,000) covers the ad losses. The business stays profitable even when ad spend exceeds ad revenue — organic subsidises it. Organic sales are the cushion that lets GlowNest afford aggressive ad spending.</t>
  </si>
  <si>
    <t xml:space="preserve">Max Ad Spend before loss</t>
  </si>
  <si>
    <t xml:space="preserve">At ₹13,34,000 the business hits exactly ₹0 profit. Current ₹3L is only 22% of this.</t>
  </si>
  <si>
    <t xml:space="preserve">Corresponding ACOS</t>
  </si>
  <si>
    <t xml:space="preserve">111% — looks wrong but is correct. Organic profit keeps the business alive above 100% ACOS.</t>
  </si>
  <si>
    <t xml:space="preserve">Q5 — Scenario: ACOS worsens to 40%, Ad Units drop to 1,200</t>
  </si>
  <si>
    <t xml:space="preserve">Assumption: Ad spend stays at ₹3,00,000 (unchanged). Units drop to 1,200 due to poor performance. Ad cost per unit rises because same spend drives fewer sales.</t>
  </si>
  <si>
    <t xml:space="preserve">New Ad Units (scenario input)</t>
  </si>
  <si>
    <t xml:space="preserve">Given in the scenario — unchanged ad spend, fewer units</t>
  </si>
  <si>
    <t xml:space="preserve">Ad Cost / unit (new)</t>
  </si>
  <si>
    <t xml:space="preserve">₹300,000 ÷ 1,200 = ₹250. Rises because same spend now buys fewer sales.</t>
  </si>
  <si>
    <t xml:space="preserve">Net Margin / Ad unit (new)</t>
  </si>
  <si>
    <t xml:space="preserve">Drops from ₹224 to ₹174.</t>
  </si>
  <si>
    <t xml:space="preserve">New Monthly Profit</t>
  </si>
  <si>
    <t xml:space="preserve">Still profitable at ₹9,06,800.</t>
  </si>
  <si>
    <t xml:space="preserve">Profit drop vs base</t>
  </si>
  <si>
    <t xml:space="preserve">₹1,27,200 less profit than base case.</t>
  </si>
  <si>
    <t xml:space="preserve">What I'd recommend: Pause broad match campaigns first — that's usually where ACOS bleeds. Do a negative keyword audit on anything with &lt; 5% conversion. Check if a competitor launched something new in the category — ACOS spikes often have an external cause. The business won't die at this ACOS, but we can't let it sit there.</t>
  </si>
  <si>
    <t xml:space="preserve">Q6 — Scenario: Double Ad Spend to ₹6,00,000</t>
  </si>
  <si>
    <t xml:space="preserve">New Ad Spend (scenario input)</t>
  </si>
  <si>
    <t xml:space="preserve">Given — doubled from ₹3L</t>
  </si>
  <si>
    <t xml:space="preserve">Expected Ad Units (scenario input)</t>
  </si>
  <si>
    <t xml:space="preserve">Not double — diminishing returns</t>
  </si>
  <si>
    <t xml:space="preserve">New Ad Cost / unit</t>
  </si>
  <si>
    <t xml:space="preserve">₹240 — was ₹200, goes up because of diminishing returns.</t>
  </si>
  <si>
    <t xml:space="preserve">New Net Margin / Ad unit</t>
  </si>
  <si>
    <t xml:space="preserve">₹184 — was ₹224.</t>
  </si>
  <si>
    <t xml:space="preserve">₹11,58,000.</t>
  </si>
  <si>
    <t xml:space="preserve">Incremental Profit</t>
  </si>
  <si>
    <t xml:space="preserve">₹1,24,000 extra profit.</t>
  </si>
  <si>
    <t xml:space="preserve">Incremental Spend</t>
  </si>
  <si>
    <t xml:space="preserve">₹3,00,000 extra spend.</t>
  </si>
  <si>
    <t xml:space="preserve">ROI on extra spend</t>
  </si>
  <si>
    <t xml:space="preserve">41% — decent return, but see my take below.</t>
  </si>
  <si>
    <t xml:space="preserve">My take: the math says yes — 41% ROI on extra spend is decent. But I wouldn't dump ₹3L extra overnight. Increase in ₹75K steps and check ACOS after each step. If ACOS stays under 35%, keep going. If it spikes, stop and audit. Scaling ads without monitoring is how you end up in Q5's situation.</t>
  </si>
  <si>
    <t xml:space="preserve">Task 2 — Dynamic Profitability Model</t>
  </si>
  <si>
    <t xml:space="preserve">Change any blue input cell → everything recalculates automatically</t>
  </si>
  <si>
    <t xml:space="preserve">Unit</t>
  </si>
  <si>
    <t xml:space="preserve">Notes</t>
  </si>
  <si>
    <t xml:space="preserve">₹</t>
  </si>
  <si>
    <t xml:space="preserve">Price on Amazon listing</t>
  </si>
  <si>
    <t xml:space="preserve">COGS</t>
  </si>
  <si>
    <t xml:space="preserve">Cost per unit to manufacture + ship to FBA</t>
  </si>
  <si>
    <t xml:space="preserve">%</t>
  </si>
  <si>
    <t xml:space="preserve">Usually 8–15% depending on category</t>
  </si>
  <si>
    <t xml:space="preserve">Total paid to Amazon Ads</t>
  </si>
  <si>
    <t xml:space="preserve">Units Sold via Ads</t>
  </si>
  <si>
    <t xml:space="preserve">units</t>
  </si>
  <si>
    <t xml:space="preserve">Ad-attributed sales</t>
  </si>
  <si>
    <t xml:space="preserve">Organic Units Sold</t>
  </si>
  <si>
    <t xml:space="preserve">Zero ad cost on these</t>
  </si>
  <si>
    <t xml:space="preserve">Warehouse + staff + software</t>
  </si>
  <si>
    <t xml:space="preserve">OUTPUTS (all auto-calculated — real Excel formulas)</t>
  </si>
  <si>
    <t xml:space="preserve">Formula used</t>
  </si>
  <si>
    <t xml:space="preserve">What to watch for</t>
  </si>
  <si>
    <t xml:space="preserve">Should be well above Amazon fee + ad cost combined</t>
  </si>
  <si>
    <t xml:space="preserve">Fixed cost — can't negotiate it</t>
  </si>
  <si>
    <t xml:space="preserve">If this creeps up, ACOS is worsening</t>
  </si>
  <si>
    <t xml:space="preserve">Must stay positive. Red flag if &lt; ₹0</t>
  </si>
  <si>
    <t xml:space="preserve">Net Margin — Organic unit</t>
  </si>
  <si>
    <t xml:space="preserve">Always higher — organic sales are more profitable</t>
  </si>
  <si>
    <t xml:space="preserve">Total Monthly Revenue</t>
  </si>
  <si>
    <t xml:space="preserve">Total Monthly Profit</t>
  </si>
  <si>
    <t xml:space="preserve">See formula column</t>
  </si>
  <si>
    <t xml:space="preserve">Main health number — watch this</t>
  </si>
  <si>
    <t xml:space="preserve">Keep below break-even ACOS</t>
  </si>
  <si>
    <t xml:space="preserve">Break-Even ACOS (unit)</t>
  </si>
  <si>
    <t xml:space="preserve">Max ACOS where ad sales still break even</t>
  </si>
  <si>
    <t xml:space="preserve">&lt; 10% excellent | 10–15% ok | &gt; 15% review</t>
  </si>
  <si>
    <t xml:space="preserve">Break-Even Ad Spend</t>
  </si>
  <si>
    <t xml:space="preserve">Max spend before profit hits zero</t>
  </si>
  <si>
    <t xml:space="preserve">ROAS</t>
  </si>
  <si>
    <t xml:space="preserve">Revenue per ₹1 of ad spend</t>
  </si>
  <si>
    <t xml:space="preserve">SCENARIO QUESTIONS</t>
  </si>
  <si>
    <t xml:space="preserve">Scenario</t>
  </si>
  <si>
    <t xml:space="preserve">SP (₹)</t>
  </si>
  <si>
    <t xml:space="preserve">COGS (₹)</t>
  </si>
  <si>
    <t xml:space="preserve">Org Units</t>
  </si>
  <si>
    <t xml:space="preserve">Ad Spend (₹)</t>
  </si>
  <si>
    <t xml:space="preserve">Profit (₹)</t>
  </si>
  <si>
    <t xml:space="preserve">Base case (default)</t>
  </si>
  <si>
    <t xml:space="preserve">Q1 — SP increases to ₹950</t>
  </si>
  <si>
    <t xml:space="preserve">Q2 — COGS +20% (supply)</t>
  </si>
  <si>
    <t xml:space="preserve">Q3 — Organic grows to 3,500</t>
  </si>
  <si>
    <t xml:space="preserve">Q4 — SP drops to ₹700</t>
  </si>
  <si>
    <t xml:space="preserve">Q1 — SP ₹950</t>
  </si>
  <si>
    <t xml:space="preserve">Profit goes from ₹10.34L to ₹14.96L (+₹4.62L). TACOS drops to 9%. Every extra rupee in SP goes straight to the bottom line — no extra costs. GlowNest should test a price increase before spending more on ads.</t>
  </si>
  <si>
    <t xml:space="preserve">Q2 — COGS +20% (₹336)</t>
  </si>
  <si>
    <t xml:space="preserve">Profit drops to ₹8.38L. Break-even ad spend falls from ₹13.34L to ₹11.38L. TACOS stays the same — COGS doesn't affect TACOS, only margin does. If supply chain costs rise, the answer is to fix sourcing or slightly raise SP, not cut ads.</t>
  </si>
  <si>
    <t xml:space="preserve">Profit jumps to ₹16.7L. TACOS drops to 7.5% even though ad spend hasn't changed. This is the whole point of advertising consistently — organic builds over time, and each month the same ₹3L spend generates more total revenue.</t>
  </si>
  <si>
    <t xml:space="preserve">Profit drops 30% to ₹7.26L. TACOS worsens to 12.2%. I wouldn't recommend this. A ₹100 price cut to match a ₹600 competitor is the wrong battle. Premium skincare customers are not choosing between ₹700 and ₹600 based on price alone. Better move: improve the listing (images, A+ content) and let the product quality do the work.</t>
  </si>
  <si>
    <t xml:space="preserve">Task 3A — Weekly Account Status Update</t>
  </si>
  <si>
    <t xml:space="preserve">To: Team Lead   |   From: Me   |   This week's notes on 3 accounts</t>
  </si>
  <si>
    <t xml:space="preserve">Brand A — FreshBasket (Organic Snacks)   |   ROAS 4.2   |   Spend ₹2.5L   |   9 hrs this week</t>
  </si>
  <si>
    <t xml:space="preserve">Status</t>
  </si>
  <si>
    <t xml:space="preserve">Healthy. Campaigns performing well, client happy.</t>
  </si>
  <si>
    <t xml:space="preserve">This week</t>
  </si>
  <si>
    <t xml:space="preserve">Keyword research, bid tweaks, weekly report. Nothing unusual — this account is in a good steady state.</t>
  </si>
  <si>
    <t xml:space="preserve">Flag</t>
  </si>
  <si>
    <t xml:space="preserve">Client asked Tuesday: 'Can you explain what the daily spend breakdown means in the report? The columns are confusing.' I explained it but flagging this — see patterns section below.</t>
  </si>
  <si>
    <t xml:space="preserve">Brand B — UrbanPulse (Men's Grooming)   |   ROAS 2.1 (target 3.0)   |   Spend ₹4L   |   12 hrs this week</t>
  </si>
  <si>
    <t xml:space="preserve">Below target. Month 2, algorithm still learning. Not alarming yet but needs watching.</t>
  </si>
  <si>
    <t xml:space="preserve">Deep keyword restructuring, negative keyword audit, competitive analysis, drafted reply to client email. 12 hours — heaviest week across all 3 accounts.</t>
  </si>
  <si>
    <t xml:space="preserve">Client</t>
  </si>
  <si>
    <t xml:space="preserve">They emailed: 'We're not seeing results. Are we sure this is working? Our last agency showed better ROAS in Month 1.' I've drafted a reply explaining the learning phase. Sending after your review.</t>
  </si>
  <si>
    <t xml:space="preserve">Also noticed</t>
  </si>
  <si>
    <t xml:space="preserve">Their product listing images are weak compared to the top 3 competitors in Men's Grooming. Competitors have lifestyle shots with models. UrbanPulse is product-on-white. This directly hurts CTR regardless of how good the campaigns are.</t>
  </si>
  <si>
    <t xml:space="preserve">Brand C — NestWell (Home Fragrances)   |   ROAS 3.5   |   Spend ₹1.8L   |   7 hrs this week</t>
  </si>
  <si>
    <t xml:space="preserve">On target. Routine week, nothing to escalate.</t>
  </si>
  <si>
    <t xml:space="preserve">Standard bid optimisation, monthly report prep.</t>
  </si>
  <si>
    <t xml:space="preserve">Flag 1</t>
  </si>
  <si>
    <t xml:space="preserve">Client asked Wednesday: 'Can you explain what the daily spend breakdown means? The columns are confusing.' Exact same question as Brand A, two days apart — flagging below.</t>
  </si>
  <si>
    <t xml:space="preserve">Flag 2</t>
  </si>
  <si>
    <t xml:space="preserve">NestWell has an active Flipkart store but they haven't asked about Flipkart advertising. Nobody on our end has brought it up either.</t>
  </si>
  <si>
    <t xml:space="preserve">PATTERNS I NOTICED THIS WEEK</t>
  </si>
  <si>
    <t xml:space="preserve">Report confusion — same question, 2 clients, same week</t>
  </si>
  <si>
    <t xml:space="preserve">Brand A on Tuesday and Brand C on Wednesday both asked: 'Can you explain the daily spend breakdown? The columns are confusing.' Word for word the same. Two out of three clients couldn't read one section of the same report in the same week.
This isn't a client problem. The report has a design problem.
Fix: rename the columns to plain language and add one header row that explains what each number means. Takes 30 minutes, fixes it permanently. I can do this before next week's reports go out — just need the go-ahead.</t>
  </si>
  <si>
    <t xml:space="preserve">UrbanPulse effort is invisible to the client</t>
  </si>
  <si>
    <t xml:space="preserve">I spent 12 hours on UrbanPulse this week. They think nothing is happening.
If this continues, they'll churn at Month 3 even if ROAS improves. The work is real — we did keyword restructuring that should show results in 2–3 weeks — but clients don't wait if they can't see the effort.
Suggestion: I can start sending UrbanPulse a 3-bullet mid-week note. Not a full report — just 'this week we did X, we expect Y by next week.' Makes the work visible without adding much time. Let me know if you want to try this.</t>
  </si>
  <si>
    <t xml:space="preserve">NestWell — Flipkart is sitting there unadvertised</t>
  </si>
  <si>
    <t xml:space="preserve">NestWell has a live Flipkart store. No one is advertising on it.
Flipkart's ad platform right now is less competitive than Amazon's — lower CPCs, fewer brands bidding. Their category (home fragrances) is already on Flipkart. A small test budget (₹75K for 6 weeks) could tell us whether this is a ₹3–4L/month opportunity.
I'm not saying we pitch it immediately, but it might be worth raising in their next monthly review. Happy to prepare a one-pager if you want to table it.</t>
  </si>
  <si>
    <t xml:space="preserve">Task 3B — MD Talking Points (NestWell, 15-min call)</t>
  </si>
  <si>
    <t xml:space="preserve">Brand chosen: NestWell   |   Reason: Flipkart opportunity = actual growth conversation, not a defensive one</t>
  </si>
  <si>
    <t xml:space="preserve">TALKING POINTS — NestWell MD call</t>
  </si>
  <si>
    <t xml:space="preserve">Open (1 min)
Business framing, not KPIs</t>
  </si>
  <si>
    <t xml:space="preserve">Don't open with numbers. Open with trajectory.
"Your Amazon channel is running well — revenue has been stable and the channel is actually getting more efficient over time. More of your sales are coming from customers who found you organically, which means the brand is building equity on the platform, not just paying to show up. I wanted to share two things I noticed in the data that might connect to your growth plans for next quarter."</t>
  </si>
  <si>
    <t xml:space="preserve">Point 1 (3 min)
Where the channel stands</t>
  </si>
  <si>
    <t xml:space="preserve">Frame in revenue language, not metrics.
Talk about monthly revenue, what percentage is organic vs paid, and what that means: the organic share growing means the Amazon channel gets more profitable over time — same ad spend, more total revenue each month. That's the compounding effect of consistent advertising.</t>
  </si>
  <si>
    <t xml:space="preserve">Point 2 (5 min)
Flipcart — ₹3-4L/month sitting untouched</t>
  </si>
  <si>
    <t xml:space="preserve">"Your Flipkart store is live. You're already listed there. But you're not advertising, which means you're showing up but not competing.
Flipkart's ad platform is less mature than Amazon's right now — CPCs are lower, fewer brands are bidding on the same keywords. Your category (home fragrances) is active on Flipkart. A ₹75K test budget over 6 weeks would tell us whether this adds ₹3-4L/month in revenue.
No new product needed. No new warehouse. Same products, second channel."</t>
  </si>
  <si>
    <t xml:space="preserve">Point 3 (3 min)
Margin improves over time</t>
  </si>
  <si>
    <t xml:space="preserve">"Every month that organic share grows, your effective margin on this channel improves — because organic sales don't carry any ad cost. The Amazon channel isn't a treadmill where you keep spending more to stay in place. It's a flywheel that gets more efficient the longer you run it consistently."
This matters to an MD because it means the channel is an asset, not just an expense line.</t>
  </si>
  <si>
    <t xml:space="preserve">Close (3 min)
Ask, don't pitch</t>
  </si>
  <si>
    <t xml:space="preserve">Don't end with a slide deck. End with a question.
"Where does Amazon sit in your growth plan for this year — are you pushing for topline growth or tightening margin? And is there appetite to run a small Flipkart test this quarter? That would shape how we think about the next 90 days."
This shows you're advising them, not selling to them.</t>
  </si>
  <si>
    <t xml:space="preserve">NEVER SAY IN THIS CALL</t>
  </si>
  <si>
    <t xml:space="preserve">Don't say: "ROAS went from 3.2 to 3.5"</t>
  </si>
  <si>
    <t xml:space="preserve">The MD doesn't know what ROAS is</t>
  </si>
  <si>
    <t xml:space="preserve">Don't say: "ACOS dropped to 22%"</t>
  </si>
  <si>
    <t xml:space="preserve">Campaign metric, means nothing at MD level</t>
  </si>
  <si>
    <t xml:space="preserve">Don't say: "We added negative keywords this week"</t>
  </si>
  <si>
    <t xml:space="preserve">That's the POC's conversation</t>
  </si>
  <si>
    <t xml:space="preserve">Don't say: "We're planning Sponsored Display"</t>
  </si>
  <si>
    <t xml:space="preserve">Execution detail, wrong audience</t>
  </si>
  <si>
    <t xml:space="preserve">WHAT CHANGED WHEN I SWITCHED FROM TEAM LEAD UPDATE → MD TALKING POINTS</t>
  </si>
  <si>
    <t xml:space="preserve">When I was writing the status update for the team lead, I was thinking about accuracy — what happened, what the numbers were, what needs fixing. Every observation was grounded in this week's data.
When I switched to the MD talking points, the same data looked completely different. NestWell's Flipkart store was a 'flag' in the status update. In the MD conversation it becomes a revenue opportunity worth ₹3-4L/month that connects to their growth plans.
The other shift was language. I had to stop myself every time I was about to write ACOS or ROAS. The MD thinks in topline, margin, and competition. If I can't translate a data point into one of those three things, it doesn't belong in the call.</t>
  </si>
  <si>
    <t xml:space="preserve">WHAT I'D NEED BEFORE THIS CALL</t>
  </si>
  <si>
    <t xml:space="preserve">Gap 1</t>
  </si>
  <si>
    <t xml:space="preserve">NestWell's total company revenue — to frame Amazon as a % of their business</t>
  </si>
  <si>
    <t xml:space="preserve">Gap 2</t>
  </si>
  <si>
    <t xml:space="preserve">Whether they have a D2C website and what revenue it does</t>
  </si>
  <si>
    <t xml:space="preserve">Gap 3</t>
  </si>
  <si>
    <t xml:space="preserve">MD's priority this year: topline growth or margin improvement — changes the Flipkart pitch</t>
  </si>
  <si>
    <t xml:space="preserve">Gap 4</t>
  </si>
  <si>
    <t xml:space="preserve">Competitor activity on Flipkart — which home fragrance brands are already advertising there</t>
  </si>
  <si>
    <t xml:space="preserve">Gap 5</t>
  </si>
  <si>
    <t xml:space="preserve">NestWell's gross margin per unit — so I can talk about TACOS improvement in rupees, not percentages</t>
  </si>
</sst>
</file>

<file path=xl/styles.xml><?xml version="1.0" encoding="utf-8"?>
<styleSheet xmlns="http://schemas.openxmlformats.org/spreadsheetml/2006/main">
  <numFmts count="7">
    <numFmt numFmtId="164" formatCode="General"/>
    <numFmt numFmtId="165" formatCode="0%"/>
    <numFmt numFmtId="166" formatCode="\₹#,##0"/>
    <numFmt numFmtId="167" formatCode="0.00"/>
    <numFmt numFmtId="168" formatCode="General"/>
    <numFmt numFmtId="169" formatCode="#,##0"/>
    <numFmt numFmtId="170" formatCode="0.0%"/>
  </numFmts>
  <fonts count="11">
    <font>
      <sz val="11"/>
      <color theme="1"/>
      <name val="Calibri"/>
      <family val="2"/>
      <charset val="1"/>
    </font>
    <font>
      <sz val="10"/>
      <name val="Arial"/>
      <family val="0"/>
    </font>
    <font>
      <sz val="10"/>
      <name val="Arial"/>
      <family val="0"/>
    </font>
    <font>
      <sz val="10"/>
      <name val="Arial"/>
      <family val="0"/>
    </font>
    <font>
      <b val="true"/>
      <sz val="12"/>
      <name val="Calibri"/>
      <family val="0"/>
      <charset val="1"/>
    </font>
    <font>
      <sz val="10"/>
      <name val="Calibri"/>
      <family val="0"/>
      <charset val="1"/>
    </font>
    <font>
      <b val="true"/>
      <sz val="11"/>
      <name val="Calibri"/>
      <family val="0"/>
      <charset val="1"/>
    </font>
    <font>
      <sz val="11"/>
      <name val="Calibri"/>
      <family val="0"/>
      <charset val="1"/>
    </font>
    <font>
      <i val="true"/>
      <sz val="10"/>
      <name val="Calibri"/>
      <family val="0"/>
      <charset val="1"/>
    </font>
    <font>
      <i val="true"/>
      <sz val="9"/>
      <name val="Calibri"/>
      <family val="0"/>
      <charset val="1"/>
    </font>
    <font>
      <b val="true"/>
      <sz val="10"/>
      <name val="Calibri"/>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false" indent="0" shrinkToFit="false"/>
      <protection locked="true" hidden="false"/>
    </xf>
    <xf numFmtId="165" fontId="7" fillId="0" borderId="2" xfId="0" applyFont="true" applyBorder="true" applyAlignment="true" applyProtection="false">
      <alignment horizontal="right" vertical="center" textRotation="0" wrapText="false" indent="0" shrinkToFit="false"/>
      <protection locked="true" hidden="false"/>
    </xf>
    <xf numFmtId="166" fontId="7" fillId="0" borderId="2" xfId="0" applyFont="true" applyBorder="true" applyAlignment="true" applyProtection="false">
      <alignment horizontal="right" vertical="center" textRotation="0" wrapText="false" indent="0" shrinkToFit="false"/>
      <protection locked="true" hidden="false"/>
    </xf>
    <xf numFmtId="164" fontId="8" fillId="0" borderId="2" xfId="0" applyFont="true" applyBorder="true" applyAlignment="true" applyProtection="false">
      <alignment horizontal="left" vertical="center" textRotation="0" wrapText="true" indent="0" shrinkToFit="false"/>
      <protection locked="true" hidden="false"/>
    </xf>
    <xf numFmtId="166" fontId="6" fillId="0" borderId="2"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7" fontId="7" fillId="0" borderId="2" xfId="0" applyFont="true" applyBorder="true" applyAlignment="true" applyProtection="false">
      <alignment horizontal="right"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8" fontId="9" fillId="0" borderId="2" xfId="0" applyFont="true" applyBorder="true" applyAlignment="true" applyProtection="false">
      <alignment horizontal="left" vertical="center" textRotation="0" wrapText="true" indent="0" shrinkToFit="false"/>
      <protection locked="true" hidden="false"/>
    </xf>
    <xf numFmtId="169" fontId="7" fillId="0" borderId="2" xfId="0" applyFont="true" applyBorder="true" applyAlignment="true" applyProtection="false">
      <alignment horizontal="right" vertical="center" textRotation="0" wrapText="false" indent="0" shrinkToFit="false"/>
      <protection locked="true" hidden="false"/>
    </xf>
    <xf numFmtId="170" fontId="7" fillId="0" borderId="2"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8"/>
    <col collapsed="false" customWidth="true" hidden="false" outlineLevel="0" max="4" min="4" style="0" width="36"/>
  </cols>
  <sheetData>
    <row r="1" customFormat="false" ht="18" hidden="false" customHeight="true" outlineLevel="0" collapsed="false">
      <c r="A1" s="1" t="s">
        <v>0</v>
      </c>
      <c r="B1" s="1"/>
      <c r="C1" s="1"/>
      <c r="D1" s="1"/>
    </row>
    <row r="2" customFormat="false" ht="18" hidden="false" customHeight="true" outlineLevel="0" collapsed="false">
      <c r="A2" s="2" t="s">
        <v>1</v>
      </c>
      <c r="B2" s="2"/>
      <c r="C2" s="2"/>
      <c r="D2" s="2"/>
    </row>
    <row r="4" customFormat="false" ht="18" hidden="false" customHeight="true" outlineLevel="0" collapsed="false">
      <c r="A4" s="3" t="s">
        <v>2</v>
      </c>
      <c r="B4" s="3"/>
      <c r="C4" s="3"/>
      <c r="D4" s="3"/>
    </row>
    <row r="5" customFormat="false" ht="15" hidden="false" customHeight="false" outlineLevel="0" collapsed="false">
      <c r="A5" s="4" t="s">
        <v>3</v>
      </c>
      <c r="B5" s="4" t="s">
        <v>4</v>
      </c>
      <c r="C5" s="4"/>
      <c r="D5" s="4" t="s">
        <v>5</v>
      </c>
    </row>
    <row r="6" customFormat="false" ht="15" hidden="false" customHeight="false" outlineLevel="0" collapsed="false">
      <c r="A6" s="5" t="s">
        <v>6</v>
      </c>
      <c r="B6" s="6" t="n">
        <v>800</v>
      </c>
      <c r="C6" s="5"/>
      <c r="D6" s="7" t="s">
        <v>7</v>
      </c>
    </row>
    <row r="7" customFormat="false" ht="15" hidden="false" customHeight="false" outlineLevel="0" collapsed="false">
      <c r="A7" s="5" t="s">
        <v>8</v>
      </c>
      <c r="B7" s="6" t="n">
        <v>280</v>
      </c>
      <c r="C7" s="5"/>
      <c r="D7" s="7" t="s">
        <v>9</v>
      </c>
    </row>
    <row r="8" customFormat="false" ht="15" hidden="false" customHeight="false" outlineLevel="0" collapsed="false">
      <c r="A8" s="5" t="s">
        <v>10</v>
      </c>
      <c r="B8" s="8" t="n">
        <v>0.12</v>
      </c>
      <c r="C8" s="5"/>
      <c r="D8" s="7" t="s">
        <v>11</v>
      </c>
    </row>
    <row r="9" customFormat="false" ht="15" hidden="false" customHeight="false" outlineLevel="0" collapsed="false">
      <c r="A9" s="5" t="s">
        <v>12</v>
      </c>
      <c r="B9" s="9" t="n">
        <v>300000</v>
      </c>
      <c r="C9" s="5"/>
      <c r="D9" s="7" t="s">
        <v>13</v>
      </c>
    </row>
    <row r="10" customFormat="false" ht="15" hidden="false" customHeight="false" outlineLevel="0" collapsed="false">
      <c r="A10" s="5" t="s">
        <v>14</v>
      </c>
      <c r="B10" s="6" t="n">
        <v>1500</v>
      </c>
      <c r="C10" s="5"/>
      <c r="D10" s="7" t="s">
        <v>15</v>
      </c>
    </row>
    <row r="11" customFormat="false" ht="15" hidden="false" customHeight="false" outlineLevel="0" collapsed="false">
      <c r="A11" s="5" t="s">
        <v>16</v>
      </c>
      <c r="B11" s="6" t="n">
        <v>2000</v>
      </c>
      <c r="C11" s="5"/>
      <c r="D11" s="7" t="s">
        <v>17</v>
      </c>
    </row>
    <row r="12" customFormat="false" ht="15" hidden="false" customHeight="false" outlineLevel="0" collapsed="false">
      <c r="A12" s="5" t="s">
        <v>18</v>
      </c>
      <c r="B12" s="9" t="n">
        <v>150000</v>
      </c>
      <c r="C12" s="5"/>
      <c r="D12" s="7" t="s">
        <v>19</v>
      </c>
    </row>
    <row r="14" customFormat="false" ht="18" hidden="false" customHeight="true" outlineLevel="0" collapsed="false">
      <c r="A14" s="3" t="s">
        <v>20</v>
      </c>
      <c r="B14" s="3"/>
      <c r="C14" s="3"/>
      <c r="D14" s="3"/>
    </row>
    <row r="15" customFormat="false" ht="15" hidden="false" customHeight="false" outlineLevel="0" collapsed="false">
      <c r="A15" s="4" t="s">
        <v>21</v>
      </c>
      <c r="B15" s="4" t="s">
        <v>22</v>
      </c>
      <c r="C15" s="4" t="s">
        <v>23</v>
      </c>
      <c r="D15" s="4" t="s">
        <v>24</v>
      </c>
    </row>
    <row r="16" customFormat="false" ht="27.75" hidden="false" customHeight="true" outlineLevel="0" collapsed="false">
      <c r="A16" s="5" t="s">
        <v>25</v>
      </c>
      <c r="B16" s="9" t="n">
        <f aca="false">B6-B7</f>
        <v>520</v>
      </c>
      <c r="C16" s="9" t="n">
        <f aca="false">B6-B7</f>
        <v>520</v>
      </c>
      <c r="D16" s="10" t="s">
        <v>26</v>
      </c>
    </row>
    <row r="17" customFormat="false" ht="27.75" hidden="false" customHeight="true" outlineLevel="0" collapsed="false">
      <c r="A17" s="5" t="s">
        <v>27</v>
      </c>
      <c r="B17" s="9" t="n">
        <f aca="false">B6*B8</f>
        <v>96</v>
      </c>
      <c r="C17" s="9" t="n">
        <f aca="false">B6*B8</f>
        <v>96</v>
      </c>
      <c r="D17" s="10" t="s">
        <v>28</v>
      </c>
    </row>
    <row r="18" customFormat="false" ht="27.75" hidden="false" customHeight="true" outlineLevel="0" collapsed="false">
      <c r="A18" s="5" t="s">
        <v>29</v>
      </c>
      <c r="B18" s="9" t="n">
        <f aca="false">B9/B10</f>
        <v>200</v>
      </c>
      <c r="C18" s="9" t="n">
        <f aca="false">B9/B10</f>
        <v>200</v>
      </c>
      <c r="D18" s="10" t="s">
        <v>30</v>
      </c>
    </row>
    <row r="19" customFormat="false" ht="27.75" hidden="false" customHeight="true" outlineLevel="0" collapsed="false">
      <c r="A19" s="5" t="s">
        <v>31</v>
      </c>
      <c r="B19" s="9" t="n">
        <f aca="false">B6-B7-B6*B8-B9/B10</f>
        <v>224</v>
      </c>
      <c r="C19" s="9" t="n">
        <f aca="false">B6-B7-B6*B8-B9/B10</f>
        <v>224</v>
      </c>
      <c r="D19" s="10" t="s">
        <v>32</v>
      </c>
    </row>
    <row r="20" customFormat="false" ht="27.75" hidden="false" customHeight="true" outlineLevel="0" collapsed="false">
      <c r="A20" s="5" t="s">
        <v>33</v>
      </c>
      <c r="B20" s="9" t="n">
        <f aca="false">B6-B7-B6*B8</f>
        <v>424</v>
      </c>
      <c r="C20" s="9" t="n">
        <f aca="false">B6-B7-B6*B8</f>
        <v>424</v>
      </c>
      <c r="D20" s="10" t="s">
        <v>34</v>
      </c>
    </row>
    <row r="22" customFormat="false" ht="18" hidden="false" customHeight="true" outlineLevel="0" collapsed="false">
      <c r="A22" s="3" t="s">
        <v>35</v>
      </c>
      <c r="B22" s="3"/>
      <c r="C22" s="3"/>
      <c r="D22" s="3"/>
    </row>
    <row r="23" customFormat="false" ht="15" hidden="false" customHeight="false" outlineLevel="0" collapsed="false">
      <c r="A23" s="4" t="s">
        <v>36</v>
      </c>
      <c r="B23" s="4" t="s">
        <v>22</v>
      </c>
      <c r="C23" s="4" t="s">
        <v>37</v>
      </c>
      <c r="D23" s="4" t="s">
        <v>5</v>
      </c>
    </row>
    <row r="24" customFormat="false" ht="15" hidden="false" customHeight="false" outlineLevel="0" collapsed="false">
      <c r="A24" s="5" t="s">
        <v>38</v>
      </c>
      <c r="B24" s="9" t="n">
        <f aca="false">B6*B10</f>
        <v>1200000</v>
      </c>
      <c r="C24" s="9" t="n">
        <f aca="false">B6*B10</f>
        <v>1200000</v>
      </c>
      <c r="D24" s="7" t="s">
        <v>39</v>
      </c>
    </row>
    <row r="25" customFormat="false" ht="15" hidden="false" customHeight="false" outlineLevel="0" collapsed="false">
      <c r="A25" s="5" t="s">
        <v>40</v>
      </c>
      <c r="B25" s="9" t="n">
        <f aca="false">B6*B11</f>
        <v>1600000</v>
      </c>
      <c r="C25" s="9" t="n">
        <f aca="false">B6*B11</f>
        <v>1600000</v>
      </c>
      <c r="D25" s="7" t="s">
        <v>41</v>
      </c>
    </row>
    <row r="26" customFormat="false" ht="15" hidden="false" customHeight="false" outlineLevel="0" collapsed="false">
      <c r="A26" s="5" t="s">
        <v>42</v>
      </c>
      <c r="B26" s="9" t="n">
        <f aca="false">B6*(B10+B11)</f>
        <v>2800000</v>
      </c>
      <c r="C26" s="9" t="n">
        <f aca="false">B6*(B10+B11)</f>
        <v>2800000</v>
      </c>
      <c r="D26" s="7"/>
    </row>
    <row r="27" customFormat="false" ht="15" hidden="false" customHeight="false" outlineLevel="0" collapsed="false">
      <c r="A27" s="5" t="s">
        <v>43</v>
      </c>
      <c r="B27" s="9" t="n">
        <f aca="false">(B6-B7-B6*B8-B9/B10)*B10</f>
        <v>336000</v>
      </c>
      <c r="C27" s="9" t="n">
        <f aca="false">(B6-B7-B6*B8-B9/B10)*B10</f>
        <v>336000</v>
      </c>
      <c r="D27" s="7" t="s">
        <v>44</v>
      </c>
    </row>
    <row r="28" customFormat="false" ht="15" hidden="false" customHeight="false" outlineLevel="0" collapsed="false">
      <c r="A28" s="5" t="s">
        <v>45</v>
      </c>
      <c r="B28" s="9" t="n">
        <f aca="false">(B6-B7-B6*B8)*B11</f>
        <v>848000</v>
      </c>
      <c r="C28" s="9" t="n">
        <f aca="false">(B6-B7-B6*B8)*B11</f>
        <v>848000</v>
      </c>
      <c r="D28" s="7" t="s">
        <v>46</v>
      </c>
    </row>
    <row r="29" customFormat="false" ht="15" hidden="false" customHeight="false" outlineLevel="0" collapsed="false">
      <c r="A29" s="5" t="s">
        <v>47</v>
      </c>
      <c r="B29" s="9" t="n">
        <f aca="false">-B12</f>
        <v>-150000</v>
      </c>
      <c r="C29" s="9" t="n">
        <f aca="false">-B12</f>
        <v>-150000</v>
      </c>
      <c r="D29" s="7"/>
    </row>
    <row r="30" customFormat="false" ht="15" hidden="false" customHeight="false" outlineLevel="0" collapsed="false">
      <c r="A30" s="4" t="s">
        <v>48</v>
      </c>
      <c r="B30" s="11" t="n">
        <f aca="false">(B6-B7-B6*B8-B9/B10)*B10+(B6-B7-B6*B8)*B11-B12</f>
        <v>1034000</v>
      </c>
      <c r="C30" s="11" t="n">
        <f aca="false">(B6-B7-B6*B8-B9/B10)*B10+(B6-B7-B6*B8)*B11-B12</f>
        <v>1034000</v>
      </c>
      <c r="D30" s="7"/>
    </row>
    <row r="32" customFormat="false" ht="18" hidden="false" customHeight="true" outlineLevel="0" collapsed="false">
      <c r="A32" s="3" t="s">
        <v>49</v>
      </c>
      <c r="B32" s="3"/>
      <c r="C32" s="3"/>
      <c r="D32" s="3"/>
    </row>
    <row r="33" customFormat="false" ht="15" hidden="false" customHeight="false" outlineLevel="0" collapsed="false">
      <c r="A33" s="4" t="s">
        <v>21</v>
      </c>
      <c r="B33" s="4" t="s">
        <v>22</v>
      </c>
      <c r="C33" s="4" t="s">
        <v>4</v>
      </c>
      <c r="D33" s="4" t="s">
        <v>50</v>
      </c>
    </row>
    <row r="34" customFormat="false" ht="30" hidden="false" customHeight="true" outlineLevel="0" collapsed="false">
      <c r="A34" s="5" t="s">
        <v>51</v>
      </c>
      <c r="B34" s="8" t="n">
        <f aca="false">B9/(B6*B10)</f>
        <v>0.25</v>
      </c>
      <c r="C34" s="8" t="n">
        <f aca="false">B9/(B6*B10)</f>
        <v>0.25</v>
      </c>
      <c r="D34" s="10" t="s">
        <v>52</v>
      </c>
    </row>
    <row r="35" customFormat="false" ht="30" hidden="false" customHeight="true" outlineLevel="0" collapsed="false">
      <c r="A35" s="5" t="s">
        <v>53</v>
      </c>
      <c r="B35" s="8" t="n">
        <f aca="false">B9/(B6*(B10+B11))</f>
        <v>0.107142857142857</v>
      </c>
      <c r="C35" s="8" t="n">
        <f aca="false">B9/(B6*(B10+B11))</f>
        <v>0.107142857142857</v>
      </c>
      <c r="D35" s="10" t="s">
        <v>54</v>
      </c>
    </row>
    <row r="36" customFormat="false" ht="30" hidden="false" customHeight="true" outlineLevel="0" collapsed="false">
      <c r="A36" s="5" t="s">
        <v>55</v>
      </c>
      <c r="B36" s="8" t="n">
        <f aca="false">(B6-B7-B6*B8)/B6</f>
        <v>0.53</v>
      </c>
      <c r="C36" s="8" t="n">
        <f aca="false">(B6-B7-B6*B8)/B6</f>
        <v>0.53</v>
      </c>
      <c r="D36" s="10" t="s">
        <v>56</v>
      </c>
    </row>
    <row r="38" customFormat="false" ht="18" hidden="false" customHeight="true" outlineLevel="0" collapsed="false">
      <c r="A38" s="3" t="s">
        <v>57</v>
      </c>
      <c r="B38" s="3"/>
      <c r="C38" s="3"/>
      <c r="D38" s="3"/>
    </row>
    <row r="39" customFormat="false" ht="31.5" hidden="false" customHeight="true" outlineLevel="0" collapsed="false">
      <c r="A39" s="12" t="s">
        <v>58</v>
      </c>
      <c r="B39" s="12"/>
      <c r="C39" s="12"/>
      <c r="D39" s="12"/>
    </row>
    <row r="40" customFormat="false" ht="36" hidden="false" customHeight="true" outlineLevel="0" collapsed="false">
      <c r="A40" s="12" t="s">
        <v>59</v>
      </c>
      <c r="B40" s="12"/>
      <c r="C40" s="12"/>
      <c r="D40" s="12"/>
    </row>
    <row r="41" customFormat="false" ht="15" hidden="false" customHeight="false" outlineLevel="0" collapsed="false">
      <c r="A41" s="4" t="s">
        <v>21</v>
      </c>
      <c r="B41" s="4" t="s">
        <v>22</v>
      </c>
      <c r="C41" s="4" t="s">
        <v>4</v>
      </c>
      <c r="D41" s="4" t="s">
        <v>5</v>
      </c>
    </row>
    <row r="42" customFormat="false" ht="27.75" hidden="false" customHeight="true" outlineLevel="0" collapsed="false">
      <c r="A42" s="5" t="s">
        <v>60</v>
      </c>
      <c r="B42" s="9" t="n">
        <f aca="false">(B6-B7-B6*B8)*(B10+B11)-B12</f>
        <v>1334000</v>
      </c>
      <c r="C42" s="9" t="n">
        <f aca="false">(B6-B7-B6*B8)*(B10+B11)-B12</f>
        <v>1334000</v>
      </c>
      <c r="D42" s="10" t="s">
        <v>61</v>
      </c>
    </row>
    <row r="43" customFormat="false" ht="27.75" hidden="false" customHeight="true" outlineLevel="0" collapsed="false">
      <c r="A43" s="5" t="s">
        <v>62</v>
      </c>
      <c r="B43" s="8" t="n">
        <f aca="false">((B6-B7-B6*B8)*(B10+B11)-B12)/(B6*B10)</f>
        <v>1.11166666666667</v>
      </c>
      <c r="C43" s="8" t="n">
        <f aca="false">((B6-B7-B6*B8)*(B10+B11)-B12)/(B6*B10)</f>
        <v>1.11166666666667</v>
      </c>
      <c r="D43" s="10" t="s">
        <v>63</v>
      </c>
    </row>
    <row r="45" customFormat="false" ht="18" hidden="false" customHeight="true" outlineLevel="0" collapsed="false">
      <c r="A45" s="3" t="s">
        <v>64</v>
      </c>
      <c r="B45" s="3"/>
      <c r="C45" s="3"/>
      <c r="D45" s="3"/>
    </row>
    <row r="46" customFormat="false" ht="27.75" hidden="false" customHeight="true" outlineLevel="0" collapsed="false">
      <c r="A46" s="12" t="s">
        <v>65</v>
      </c>
      <c r="B46" s="12"/>
      <c r="C46" s="12"/>
      <c r="D46" s="12"/>
    </row>
    <row r="47" customFormat="false" ht="15" hidden="false" customHeight="false" outlineLevel="0" collapsed="false">
      <c r="A47" s="4" t="s">
        <v>21</v>
      </c>
      <c r="B47" s="4" t="s">
        <v>22</v>
      </c>
      <c r="C47" s="4" t="s">
        <v>4</v>
      </c>
      <c r="D47" s="4" t="s">
        <v>5</v>
      </c>
    </row>
    <row r="48" customFormat="false" ht="15" hidden="false" customHeight="false" outlineLevel="0" collapsed="false">
      <c r="A48" s="5" t="s">
        <v>66</v>
      </c>
      <c r="B48" s="6" t="n">
        <v>1200</v>
      </c>
      <c r="C48" s="5"/>
      <c r="D48" s="7" t="s">
        <v>67</v>
      </c>
    </row>
    <row r="49" customFormat="false" ht="27.75" hidden="false" customHeight="true" outlineLevel="0" collapsed="false">
      <c r="A49" s="5" t="s">
        <v>68</v>
      </c>
      <c r="B49" s="9" t="n">
        <f aca="false">B9/B48</f>
        <v>250</v>
      </c>
      <c r="C49" s="9" t="n">
        <f aca="false">B9/B48</f>
        <v>250</v>
      </c>
      <c r="D49" s="10" t="s">
        <v>69</v>
      </c>
    </row>
    <row r="50" customFormat="false" ht="27.75" hidden="false" customHeight="true" outlineLevel="0" collapsed="false">
      <c r="A50" s="5" t="s">
        <v>70</v>
      </c>
      <c r="B50" s="9" t="n">
        <f aca="false">B6-B7-B6*B8-B9/B48</f>
        <v>174</v>
      </c>
      <c r="C50" s="9" t="n">
        <f aca="false">B6-B7-B6*B8-B9/B48</f>
        <v>174</v>
      </c>
      <c r="D50" s="10" t="s">
        <v>71</v>
      </c>
    </row>
    <row r="51" customFormat="false" ht="27.75" hidden="false" customHeight="true" outlineLevel="0" collapsed="false">
      <c r="A51" s="5" t="s">
        <v>72</v>
      </c>
      <c r="B51" s="9" t="n">
        <f aca="false">(B6-B7-B6*B8-B9/B48)*B48+(B6-B7-B6*B8)*B11-B12</f>
        <v>906800</v>
      </c>
      <c r="C51" s="9" t="n">
        <f aca="false">(B6-B7-B6*B8-B9/B48)*B48+(B6-B7-B6*B8)*B11-B12</f>
        <v>906800</v>
      </c>
      <c r="D51" s="10" t="s">
        <v>73</v>
      </c>
    </row>
    <row r="52" customFormat="false" ht="27.75" hidden="false" customHeight="true" outlineLevel="0" collapsed="false">
      <c r="A52" s="5" t="s">
        <v>74</v>
      </c>
      <c r="B52" s="9" t="n">
        <f aca="false">(B6-B7-B6*B8-B9/B48)*B48+(B6-B7-B6*B8)*B11-B12-(B6-B7-B6*B8-B9/B10)*B10-(B6-B7-B6*B8)*B11+B12</f>
        <v>-127200</v>
      </c>
      <c r="C52" s="9" t="n">
        <f aca="false">(B6-B7-B6*B8-B9/B48)*B48+(B6-B7-B6*B8)*B11-B12-(B6-B7-B6*B8-B9/B10)*B10-(B6-B7-B6*B8)*B11+B12</f>
        <v>-127200</v>
      </c>
      <c r="D52" s="10" t="s">
        <v>75</v>
      </c>
    </row>
    <row r="53" customFormat="false" ht="39.75" hidden="false" customHeight="true" outlineLevel="0" collapsed="false">
      <c r="A53" s="12" t="s">
        <v>76</v>
      </c>
      <c r="B53" s="12"/>
      <c r="C53" s="12"/>
      <c r="D53" s="12"/>
    </row>
    <row r="55" customFormat="false" ht="18" hidden="false" customHeight="true" outlineLevel="0" collapsed="false">
      <c r="A55" s="3" t="s">
        <v>77</v>
      </c>
      <c r="B55" s="3"/>
      <c r="C55" s="3"/>
      <c r="D55" s="3"/>
    </row>
    <row r="56" customFormat="false" ht="15" hidden="false" customHeight="false" outlineLevel="0" collapsed="false">
      <c r="A56" s="4" t="s">
        <v>21</v>
      </c>
      <c r="B56" s="4" t="s">
        <v>22</v>
      </c>
      <c r="C56" s="4" t="s">
        <v>4</v>
      </c>
      <c r="D56" s="4" t="s">
        <v>5</v>
      </c>
    </row>
    <row r="57" customFormat="false" ht="15" hidden="false" customHeight="false" outlineLevel="0" collapsed="false">
      <c r="A57" s="5" t="s">
        <v>78</v>
      </c>
      <c r="B57" s="9" t="n">
        <v>600000</v>
      </c>
      <c r="C57" s="5"/>
      <c r="D57" s="7" t="s">
        <v>79</v>
      </c>
    </row>
    <row r="58" customFormat="false" ht="15" hidden="false" customHeight="false" outlineLevel="0" collapsed="false">
      <c r="A58" s="5" t="s">
        <v>80</v>
      </c>
      <c r="B58" s="6" t="n">
        <v>2500</v>
      </c>
      <c r="C58" s="5"/>
      <c r="D58" s="7" t="s">
        <v>81</v>
      </c>
    </row>
    <row r="59" customFormat="false" ht="27.75" hidden="false" customHeight="true" outlineLevel="0" collapsed="false">
      <c r="A59" s="5" t="s">
        <v>82</v>
      </c>
      <c r="B59" s="9" t="n">
        <f aca="false">B57/B58</f>
        <v>240</v>
      </c>
      <c r="C59" s="9" t="n">
        <f aca="false">B57/B58</f>
        <v>240</v>
      </c>
      <c r="D59" s="10" t="s">
        <v>83</v>
      </c>
    </row>
    <row r="60" customFormat="false" ht="27.75" hidden="false" customHeight="true" outlineLevel="0" collapsed="false">
      <c r="A60" s="5" t="s">
        <v>84</v>
      </c>
      <c r="B60" s="9" t="n">
        <f aca="false">B6-B7-B6*B8-B57/B58</f>
        <v>184</v>
      </c>
      <c r="C60" s="9" t="n">
        <f aca="false">B6-B7-B6*B8-B57/B58</f>
        <v>184</v>
      </c>
      <c r="D60" s="10" t="s">
        <v>85</v>
      </c>
    </row>
    <row r="61" customFormat="false" ht="27.75" hidden="false" customHeight="true" outlineLevel="0" collapsed="false">
      <c r="A61" s="5" t="s">
        <v>72</v>
      </c>
      <c r="B61" s="9" t="n">
        <f aca="false">(B6-B7-B6*B8-B57/B58)*B58+(B6-B7-B6*B8)*B11-B12</f>
        <v>1158000</v>
      </c>
      <c r="C61" s="9" t="n">
        <f aca="false">(B6-B7-B6*B8-B57/B58)*B58+(B6-B7-B6*B8)*B11-B12</f>
        <v>1158000</v>
      </c>
      <c r="D61" s="10" t="s">
        <v>86</v>
      </c>
    </row>
    <row r="62" customFormat="false" ht="27.75" hidden="false" customHeight="true" outlineLevel="0" collapsed="false">
      <c r="A62" s="5" t="s">
        <v>87</v>
      </c>
      <c r="B62" s="9" t="n">
        <f aca="false">(B6-B7-B6*B8-B57/B58)*B58+(B6-B7-B6*B8)*B11-B12-((B6-B7-B6*B8-B9/B10)*B10+(B6-B7-B6*B8)*B11-B12)</f>
        <v>124000</v>
      </c>
      <c r="C62" s="9" t="n">
        <f aca="false">(B6-B7-B6*B8-B57/B58)*B58+(B6-B7-B6*B8)*B11-B12-((B6-B7-B6*B8-B9/B10)*B10+(B6-B7-B6*B8)*B11-B12)</f>
        <v>124000</v>
      </c>
      <c r="D62" s="10" t="s">
        <v>88</v>
      </c>
    </row>
    <row r="63" customFormat="false" ht="27.75" hidden="false" customHeight="true" outlineLevel="0" collapsed="false">
      <c r="A63" s="5" t="s">
        <v>89</v>
      </c>
      <c r="B63" s="9" t="n">
        <f aca="false">B57-B9</f>
        <v>300000</v>
      </c>
      <c r="C63" s="9" t="n">
        <f aca="false">B57-B9</f>
        <v>300000</v>
      </c>
      <c r="D63" s="10" t="s">
        <v>90</v>
      </c>
    </row>
    <row r="64" customFormat="false" ht="27.75" hidden="false" customHeight="true" outlineLevel="0" collapsed="false">
      <c r="A64" s="5" t="s">
        <v>91</v>
      </c>
      <c r="B64" s="13" t="n">
        <f aca="false">((B6-B7-B6*B8-B57/B58)*B58+(B6-B7-B6*B8)*B11-B12-((B6-B7-B6*B8-B9/B10)*B10+(B6-B7-B6*B8)*B11-B12))/(B57-B9)</f>
        <v>0.413333333333333</v>
      </c>
      <c r="C64" s="13" t="n">
        <f aca="false">((B6-B7-B6*B8-B57/B58)*B58+(B6-B7-B6*B8)*B11-B12-((B6-B7-B6*B8-B9/B10)*B10+(B6-B7-B6*B8)*B11-B12))/(B57-B9)</f>
        <v>0.413333333333333</v>
      </c>
      <c r="D64" s="10" t="s">
        <v>92</v>
      </c>
    </row>
    <row r="65" customFormat="false" ht="39.75" hidden="false" customHeight="true" outlineLevel="0" collapsed="false">
      <c r="A65" s="12" t="s">
        <v>93</v>
      </c>
      <c r="B65" s="12"/>
      <c r="C65" s="12"/>
      <c r="D65" s="12"/>
    </row>
  </sheetData>
  <mergeCells count="14">
    <mergeCell ref="A1:D1"/>
    <mergeCell ref="A2:D2"/>
    <mergeCell ref="A4:D4"/>
    <mergeCell ref="A14:D14"/>
    <mergeCell ref="A22:D22"/>
    <mergeCell ref="A32:D32"/>
    <mergeCell ref="A38:D38"/>
    <mergeCell ref="A39:D39"/>
    <mergeCell ref="A40:D40"/>
    <mergeCell ref="A45:D45"/>
    <mergeCell ref="A46:D46"/>
    <mergeCell ref="A53:D53"/>
    <mergeCell ref="A55:D55"/>
    <mergeCell ref="A65:D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8"/>
    <col collapsed="false" customWidth="true" hidden="false" outlineLevel="0" max="4" min="4" style="0" width="14"/>
    <col collapsed="false" customWidth="true" hidden="false" outlineLevel="0" max="5" min="5" style="0" width="34"/>
    <col collapsed="false" customWidth="true" hidden="false" outlineLevel="0" max="6" min="6" style="0" width="16"/>
    <col collapsed="false" customWidth="true" hidden="false" outlineLevel="0" max="7" min="7" style="0" width="14"/>
  </cols>
  <sheetData>
    <row r="1" customFormat="false" ht="18" hidden="false" customHeight="true" outlineLevel="0" collapsed="false">
      <c r="A1" s="1" t="s">
        <v>94</v>
      </c>
      <c r="B1" s="1"/>
      <c r="C1" s="1"/>
      <c r="D1" s="1"/>
      <c r="E1" s="1"/>
    </row>
    <row r="2" customFormat="false" ht="18" hidden="false" customHeight="true" outlineLevel="0" collapsed="false">
      <c r="A2" s="2" t="s">
        <v>95</v>
      </c>
      <c r="B2" s="2"/>
      <c r="C2" s="2"/>
      <c r="D2" s="2"/>
      <c r="E2" s="2"/>
    </row>
    <row r="4" customFormat="false" ht="18" hidden="false" customHeight="true" outlineLevel="0" collapsed="false">
      <c r="A4" s="3" t="s">
        <v>2</v>
      </c>
      <c r="B4" s="3"/>
      <c r="C4" s="3"/>
      <c r="D4" s="3"/>
      <c r="E4" s="3"/>
    </row>
    <row r="5" customFormat="false" ht="15" hidden="false" customHeight="false" outlineLevel="0" collapsed="false">
      <c r="A5" s="4" t="s">
        <v>3</v>
      </c>
      <c r="B5" s="4" t="s">
        <v>4</v>
      </c>
      <c r="C5" s="4"/>
      <c r="D5" s="4" t="s">
        <v>96</v>
      </c>
      <c r="E5" s="4" t="s">
        <v>97</v>
      </c>
    </row>
    <row r="6" customFormat="false" ht="15" hidden="false" customHeight="false" outlineLevel="0" collapsed="false">
      <c r="A6" s="5" t="s">
        <v>6</v>
      </c>
      <c r="B6" s="9" t="n">
        <v>800</v>
      </c>
      <c r="C6" s="5"/>
      <c r="D6" s="14" t="s">
        <v>98</v>
      </c>
      <c r="E6" s="7" t="s">
        <v>99</v>
      </c>
    </row>
    <row r="7" customFormat="false" ht="15" hidden="false" customHeight="false" outlineLevel="0" collapsed="false">
      <c r="A7" s="5" t="s">
        <v>100</v>
      </c>
      <c r="B7" s="9" t="n">
        <v>280</v>
      </c>
      <c r="C7" s="5"/>
      <c r="D7" s="14" t="s">
        <v>98</v>
      </c>
      <c r="E7" s="7" t="s">
        <v>101</v>
      </c>
    </row>
    <row r="8" customFormat="false" ht="15" hidden="false" customHeight="false" outlineLevel="0" collapsed="false">
      <c r="A8" s="5" t="s">
        <v>10</v>
      </c>
      <c r="B8" s="8" t="n">
        <v>0.12</v>
      </c>
      <c r="C8" s="5"/>
      <c r="D8" s="14" t="s">
        <v>102</v>
      </c>
      <c r="E8" s="7" t="s">
        <v>103</v>
      </c>
    </row>
    <row r="9" customFormat="false" ht="15" hidden="false" customHeight="false" outlineLevel="0" collapsed="false">
      <c r="A9" s="5" t="s">
        <v>12</v>
      </c>
      <c r="B9" s="9" t="n">
        <v>300000</v>
      </c>
      <c r="C9" s="5"/>
      <c r="D9" s="14" t="s">
        <v>98</v>
      </c>
      <c r="E9" s="7" t="s">
        <v>104</v>
      </c>
    </row>
    <row r="10" customFormat="false" ht="15" hidden="false" customHeight="false" outlineLevel="0" collapsed="false">
      <c r="A10" s="5" t="s">
        <v>105</v>
      </c>
      <c r="B10" s="6" t="n">
        <v>1500</v>
      </c>
      <c r="C10" s="5"/>
      <c r="D10" s="14" t="s">
        <v>106</v>
      </c>
      <c r="E10" s="7" t="s">
        <v>107</v>
      </c>
    </row>
    <row r="11" customFormat="false" ht="15" hidden="false" customHeight="false" outlineLevel="0" collapsed="false">
      <c r="A11" s="5" t="s">
        <v>108</v>
      </c>
      <c r="B11" s="6" t="n">
        <v>2000</v>
      </c>
      <c r="C11" s="5"/>
      <c r="D11" s="14" t="s">
        <v>106</v>
      </c>
      <c r="E11" s="7" t="s">
        <v>109</v>
      </c>
    </row>
    <row r="12" customFormat="false" ht="15" hidden="false" customHeight="false" outlineLevel="0" collapsed="false">
      <c r="A12" s="5" t="s">
        <v>18</v>
      </c>
      <c r="B12" s="9" t="n">
        <v>150000</v>
      </c>
      <c r="C12" s="5"/>
      <c r="D12" s="14" t="s">
        <v>98</v>
      </c>
      <c r="E12" s="7" t="s">
        <v>110</v>
      </c>
    </row>
    <row r="14" customFormat="false" ht="18" hidden="false" customHeight="true" outlineLevel="0" collapsed="false">
      <c r="A14" s="3" t="s">
        <v>111</v>
      </c>
      <c r="B14" s="3"/>
      <c r="C14" s="3"/>
      <c r="D14" s="3"/>
      <c r="E14" s="3"/>
    </row>
    <row r="15" customFormat="false" ht="15" hidden="false" customHeight="false" outlineLevel="0" collapsed="false">
      <c r="A15" s="4" t="s">
        <v>21</v>
      </c>
      <c r="B15" s="4" t="s">
        <v>4</v>
      </c>
      <c r="C15" s="4"/>
      <c r="D15" s="4" t="s">
        <v>112</v>
      </c>
      <c r="E15" s="4" t="s">
        <v>113</v>
      </c>
    </row>
    <row r="16" customFormat="false" ht="19.5" hidden="false" customHeight="true" outlineLevel="0" collapsed="false">
      <c r="A16" s="5" t="s">
        <v>25</v>
      </c>
      <c r="B16" s="9" t="n">
        <f aca="false">B6-B7</f>
        <v>520</v>
      </c>
      <c r="C16" s="5"/>
      <c r="D16" s="15" t="n">
        <f aca="false">B6-B7</f>
        <v>520</v>
      </c>
      <c r="E16" s="7" t="s">
        <v>114</v>
      </c>
    </row>
    <row r="17" customFormat="false" ht="19.5" hidden="false" customHeight="true" outlineLevel="0" collapsed="false">
      <c r="A17" s="5" t="s">
        <v>27</v>
      </c>
      <c r="B17" s="9" t="n">
        <f aca="false">B6*B8</f>
        <v>96</v>
      </c>
      <c r="C17" s="5"/>
      <c r="D17" s="15" t="n">
        <f aca="false">B6*B8</f>
        <v>96</v>
      </c>
      <c r="E17" s="7" t="s">
        <v>115</v>
      </c>
    </row>
    <row r="18" customFormat="false" ht="19.5" hidden="false" customHeight="true" outlineLevel="0" collapsed="false">
      <c r="A18" s="5" t="s">
        <v>29</v>
      </c>
      <c r="B18" s="9" t="n">
        <f aca="false">B9/B10</f>
        <v>200</v>
      </c>
      <c r="C18" s="5"/>
      <c r="D18" s="15" t="n">
        <f aca="false">B9/B10</f>
        <v>200</v>
      </c>
      <c r="E18" s="7" t="s">
        <v>116</v>
      </c>
    </row>
    <row r="19" customFormat="false" ht="19.5" hidden="false" customHeight="true" outlineLevel="0" collapsed="false">
      <c r="A19" s="5" t="s">
        <v>31</v>
      </c>
      <c r="B19" s="9" t="n">
        <f aca="false">B6-B7-B6*B8-B9/B10</f>
        <v>224</v>
      </c>
      <c r="C19" s="5"/>
      <c r="D19" s="15" t="n">
        <f aca="false">B6-B7-B6*B8-B9/B10</f>
        <v>224</v>
      </c>
      <c r="E19" s="7" t="s">
        <v>117</v>
      </c>
    </row>
    <row r="20" customFormat="false" ht="19.5" hidden="false" customHeight="true" outlineLevel="0" collapsed="false">
      <c r="A20" s="5" t="s">
        <v>118</v>
      </c>
      <c r="B20" s="9" t="n">
        <f aca="false">B6-B7-B6*B8</f>
        <v>424</v>
      </c>
      <c r="C20" s="5"/>
      <c r="D20" s="15" t="n">
        <f aca="false">B6-B7-B6*B8</f>
        <v>424</v>
      </c>
      <c r="E20" s="7" t="s">
        <v>119</v>
      </c>
    </row>
    <row r="21" customFormat="false" ht="19.5" hidden="false" customHeight="true" outlineLevel="0" collapsed="false">
      <c r="A21" s="5" t="s">
        <v>120</v>
      </c>
      <c r="B21" s="9" t="n">
        <f aca="false">B6*(B10+B11)</f>
        <v>2800000</v>
      </c>
      <c r="C21" s="5"/>
      <c r="D21" s="15" t="n">
        <f aca="false">B6*(B10+B11)</f>
        <v>2800000</v>
      </c>
      <c r="E21" s="7"/>
    </row>
    <row r="22" customFormat="false" ht="19.5" hidden="false" customHeight="true" outlineLevel="0" collapsed="false">
      <c r="A22" s="5" t="s">
        <v>121</v>
      </c>
      <c r="B22" s="9" t="n">
        <f aca="false">(B6-B7-B6*B8-B9/B10)*B10+(B6-B7-B6*B8)*B11-B12</f>
        <v>1034000</v>
      </c>
      <c r="C22" s="5"/>
      <c r="D22" s="15" t="s">
        <v>122</v>
      </c>
      <c r="E22" s="7" t="s">
        <v>123</v>
      </c>
    </row>
    <row r="23" customFormat="false" ht="19.5" hidden="false" customHeight="true" outlineLevel="0" collapsed="false">
      <c r="A23" s="5" t="s">
        <v>51</v>
      </c>
      <c r="B23" s="8" t="n">
        <f aca="false">B9/(B6*B10)</f>
        <v>0.25</v>
      </c>
      <c r="C23" s="5"/>
      <c r="D23" s="15" t="n">
        <f aca="false">B9/(B6*B10)</f>
        <v>0.25</v>
      </c>
      <c r="E23" s="7" t="s">
        <v>124</v>
      </c>
    </row>
    <row r="24" customFormat="false" ht="19.5" hidden="false" customHeight="true" outlineLevel="0" collapsed="false">
      <c r="A24" s="5" t="s">
        <v>125</v>
      </c>
      <c r="B24" s="8" t="n">
        <f aca="false">(B6-B7-B6*B8)/B6</f>
        <v>0.53</v>
      </c>
      <c r="C24" s="5"/>
      <c r="D24" s="15" t="n">
        <f aca="false">(B6-B7-B6*B8)/B6</f>
        <v>0.53</v>
      </c>
      <c r="E24" s="7" t="s">
        <v>126</v>
      </c>
    </row>
    <row r="25" customFormat="false" ht="19.5" hidden="false" customHeight="true" outlineLevel="0" collapsed="false">
      <c r="A25" s="5" t="s">
        <v>53</v>
      </c>
      <c r="B25" s="8" t="n">
        <f aca="false">B9/(B6*(B10+B11))</f>
        <v>0.107142857142857</v>
      </c>
      <c r="C25" s="5"/>
      <c r="D25" s="15" t="n">
        <f aca="false">B9/(B6*(B10+B11))</f>
        <v>0.107142857142857</v>
      </c>
      <c r="E25" s="7" t="s">
        <v>127</v>
      </c>
    </row>
    <row r="26" customFormat="false" ht="19.5" hidden="false" customHeight="true" outlineLevel="0" collapsed="false">
      <c r="A26" s="5" t="s">
        <v>128</v>
      </c>
      <c r="B26" s="9" t="n">
        <f aca="false">(B6-B7-B6*B8)*(B10+B11)-B12</f>
        <v>1334000</v>
      </c>
      <c r="C26" s="5"/>
      <c r="D26" s="15" t="s">
        <v>122</v>
      </c>
      <c r="E26" s="7" t="s">
        <v>129</v>
      </c>
    </row>
    <row r="27" customFormat="false" ht="19.5" hidden="false" customHeight="true" outlineLevel="0" collapsed="false">
      <c r="A27" s="5" t="s">
        <v>130</v>
      </c>
      <c r="B27" s="13" t="n">
        <f aca="false">(B6*B10)/B9</f>
        <v>4</v>
      </c>
      <c r="C27" s="5"/>
      <c r="D27" s="15" t="n">
        <f aca="false">(B6*B10)/B9</f>
        <v>4</v>
      </c>
      <c r="E27" s="7" t="s">
        <v>131</v>
      </c>
    </row>
    <row r="29" customFormat="false" ht="18" hidden="false" customHeight="true" outlineLevel="0" collapsed="false">
      <c r="A29" s="3" t="s">
        <v>132</v>
      </c>
      <c r="B29" s="3"/>
      <c r="C29" s="3"/>
      <c r="D29" s="3"/>
      <c r="E29" s="3"/>
      <c r="F29" s="3"/>
    </row>
    <row r="30" customFormat="false" ht="15" hidden="false" customHeight="false" outlineLevel="0" collapsed="false">
      <c r="A30" s="4" t="s">
        <v>133</v>
      </c>
      <c r="B30" s="4" t="s">
        <v>134</v>
      </c>
      <c r="C30" s="4" t="s">
        <v>135</v>
      </c>
      <c r="D30" s="4" t="s">
        <v>136</v>
      </c>
      <c r="E30" s="4" t="s">
        <v>137</v>
      </c>
      <c r="F30" s="4" t="s">
        <v>138</v>
      </c>
      <c r="G30" s="4" t="s">
        <v>53</v>
      </c>
    </row>
    <row r="31" customFormat="false" ht="15" hidden="false" customHeight="false" outlineLevel="0" collapsed="false">
      <c r="A31" s="4" t="s">
        <v>139</v>
      </c>
      <c r="B31" s="9" t="n">
        <v>800</v>
      </c>
      <c r="C31" s="9" t="n">
        <v>280</v>
      </c>
      <c r="D31" s="16" t="n">
        <v>2000</v>
      </c>
      <c r="E31" s="9" t="n">
        <v>300000</v>
      </c>
      <c r="F31" s="11" t="n">
        <f aca="false">(B31-C31-B31*0.12-E31/1500)*1500+(B31-C31-B31*0.12)*D31-150000</f>
        <v>1034000</v>
      </c>
      <c r="G31" s="17" t="n">
        <f aca="false">E31/(B31*(1500+D31))</f>
        <v>0.107142857142857</v>
      </c>
    </row>
    <row r="32" customFormat="false" ht="15" hidden="false" customHeight="false" outlineLevel="0" collapsed="false">
      <c r="A32" s="5" t="s">
        <v>140</v>
      </c>
      <c r="B32" s="9" t="n">
        <v>950</v>
      </c>
      <c r="C32" s="9" t="n">
        <v>280</v>
      </c>
      <c r="D32" s="16" t="n">
        <v>2000</v>
      </c>
      <c r="E32" s="9" t="n">
        <v>300000</v>
      </c>
      <c r="F32" s="11" t="n">
        <f aca="false">(B32-C32-B32*0.12-E32/1500)*1500+(B32-C32-B32*0.12)*D32-150000</f>
        <v>1496000</v>
      </c>
      <c r="G32" s="17" t="n">
        <f aca="false">E32/(B32*(1500+D32))</f>
        <v>0.0902255639097744</v>
      </c>
    </row>
    <row r="33" customFormat="false" ht="15" hidden="false" customHeight="false" outlineLevel="0" collapsed="false">
      <c r="A33" s="5" t="s">
        <v>141</v>
      </c>
      <c r="B33" s="9" t="n">
        <v>800</v>
      </c>
      <c r="C33" s="9" t="n">
        <v>336</v>
      </c>
      <c r="D33" s="16" t="n">
        <v>2000</v>
      </c>
      <c r="E33" s="9" t="n">
        <v>300000</v>
      </c>
      <c r="F33" s="11" t="n">
        <f aca="false">(B33-C33-B33*0.12-E33/1500)*1500+(B33-C33-B33*0.12)*D33-150000</f>
        <v>838000</v>
      </c>
      <c r="G33" s="17" t="n">
        <f aca="false">E33/(B33*(1500+D33))</f>
        <v>0.107142857142857</v>
      </c>
    </row>
    <row r="34" customFormat="false" ht="15" hidden="false" customHeight="false" outlineLevel="0" collapsed="false">
      <c r="A34" s="5" t="s">
        <v>142</v>
      </c>
      <c r="B34" s="9" t="n">
        <v>800</v>
      </c>
      <c r="C34" s="9" t="n">
        <v>280</v>
      </c>
      <c r="D34" s="16" t="n">
        <v>3500</v>
      </c>
      <c r="E34" s="9" t="n">
        <v>300000</v>
      </c>
      <c r="F34" s="11" t="n">
        <f aca="false">(B34-C34-B34*0.12-E34/1500)*1500+(B34-C34-B34*0.12)*D34-150000</f>
        <v>1670000</v>
      </c>
      <c r="G34" s="17" t="n">
        <f aca="false">E34/(B34*(1500+D34))</f>
        <v>0.075</v>
      </c>
    </row>
    <row r="35" customFormat="false" ht="15" hidden="false" customHeight="false" outlineLevel="0" collapsed="false">
      <c r="A35" s="5" t="s">
        <v>143</v>
      </c>
      <c r="B35" s="9" t="n">
        <v>700</v>
      </c>
      <c r="C35" s="9" t="n">
        <v>280</v>
      </c>
      <c r="D35" s="16" t="n">
        <v>2000</v>
      </c>
      <c r="E35" s="9" t="n">
        <v>300000</v>
      </c>
      <c r="F35" s="11" t="n">
        <f aca="false">(B35-C35-B35*0.12-E35/1500)*1500+(B35-C35-B35*0.12)*D35-150000</f>
        <v>726000</v>
      </c>
      <c r="G35" s="17" t="n">
        <f aca="false">E35/(B35*(1500+D35))</f>
        <v>0.122448979591837</v>
      </c>
    </row>
    <row r="37" customFormat="false" ht="18" hidden="false" customHeight="true" outlineLevel="0" collapsed="false">
      <c r="A37" s="3" t="s">
        <v>144</v>
      </c>
      <c r="B37" s="3"/>
      <c r="C37" s="3"/>
      <c r="D37" s="3"/>
      <c r="E37" s="3"/>
      <c r="F37" s="3"/>
      <c r="G37" s="3"/>
    </row>
    <row r="38" customFormat="false" ht="43.5" hidden="false" customHeight="true" outlineLevel="0" collapsed="false">
      <c r="A38" s="18" t="s">
        <v>145</v>
      </c>
      <c r="B38" s="18"/>
      <c r="C38" s="18"/>
      <c r="D38" s="18"/>
      <c r="E38" s="18"/>
      <c r="F38" s="18"/>
      <c r="G38" s="18"/>
    </row>
    <row r="39" customFormat="false" ht="18" hidden="false" customHeight="true" outlineLevel="0" collapsed="false">
      <c r="A39" s="3" t="s">
        <v>146</v>
      </c>
      <c r="B39" s="3"/>
      <c r="C39" s="3"/>
      <c r="D39" s="3"/>
      <c r="E39" s="3"/>
      <c r="F39" s="3"/>
      <c r="G39" s="3"/>
    </row>
    <row r="40" customFormat="false" ht="43.5" hidden="false" customHeight="true" outlineLevel="0" collapsed="false">
      <c r="A40" s="18" t="s">
        <v>147</v>
      </c>
      <c r="B40" s="18"/>
      <c r="C40" s="18"/>
      <c r="D40" s="18"/>
      <c r="E40" s="18"/>
      <c r="F40" s="18"/>
      <c r="G40" s="18"/>
    </row>
    <row r="41" customFormat="false" ht="18" hidden="false" customHeight="true" outlineLevel="0" collapsed="false">
      <c r="A41" s="3" t="s">
        <v>142</v>
      </c>
      <c r="B41" s="3"/>
      <c r="C41" s="3"/>
      <c r="D41" s="3"/>
      <c r="E41" s="3"/>
      <c r="F41" s="3"/>
      <c r="G41" s="3"/>
    </row>
    <row r="42" customFormat="false" ht="43.5" hidden="false" customHeight="true" outlineLevel="0" collapsed="false">
      <c r="A42" s="18" t="s">
        <v>148</v>
      </c>
      <c r="B42" s="18"/>
      <c r="C42" s="18"/>
      <c r="D42" s="18"/>
      <c r="E42" s="18"/>
      <c r="F42" s="18"/>
      <c r="G42" s="18"/>
    </row>
    <row r="43" customFormat="false" ht="18" hidden="false" customHeight="true" outlineLevel="0" collapsed="false">
      <c r="A43" s="3" t="s">
        <v>143</v>
      </c>
      <c r="B43" s="3"/>
      <c r="C43" s="3"/>
      <c r="D43" s="3"/>
      <c r="E43" s="3"/>
      <c r="F43" s="3"/>
      <c r="G43" s="3"/>
    </row>
    <row r="44" customFormat="false" ht="43.5" hidden="false" customHeight="true" outlineLevel="0" collapsed="false">
      <c r="A44" s="18" t="s">
        <v>149</v>
      </c>
      <c r="B44" s="18"/>
      <c r="C44" s="18"/>
      <c r="D44" s="18"/>
      <c r="E44" s="18"/>
      <c r="F44" s="18"/>
      <c r="G44" s="18"/>
    </row>
  </sheetData>
  <mergeCells count="13">
    <mergeCell ref="A1:E1"/>
    <mergeCell ref="A2:E2"/>
    <mergeCell ref="A4:E4"/>
    <mergeCell ref="A14:E14"/>
    <mergeCell ref="A29:F29"/>
    <mergeCell ref="A37:G37"/>
    <mergeCell ref="A38:G38"/>
    <mergeCell ref="A39:G39"/>
    <mergeCell ref="A40:G40"/>
    <mergeCell ref="A41:G41"/>
    <mergeCell ref="A42:G42"/>
    <mergeCell ref="A43:G43"/>
    <mergeCell ref="A44:G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s>
  <sheetData>
    <row r="1" customFormat="false" ht="18" hidden="false" customHeight="true" outlineLevel="0" collapsed="false">
      <c r="A1" s="1" t="s">
        <v>150</v>
      </c>
      <c r="B1" s="1"/>
    </row>
    <row r="2" customFormat="false" ht="18" hidden="false" customHeight="true" outlineLevel="0" collapsed="false">
      <c r="A2" s="2" t="s">
        <v>151</v>
      </c>
      <c r="B2" s="2"/>
    </row>
    <row r="4" customFormat="false" ht="19.5" hidden="false" customHeight="true" outlineLevel="0" collapsed="false">
      <c r="A4" s="3" t="s">
        <v>152</v>
      </c>
      <c r="B4" s="3"/>
    </row>
    <row r="5" customFormat="false" ht="39.75" hidden="false" customHeight="true" outlineLevel="0" collapsed="false">
      <c r="A5" s="4" t="s">
        <v>153</v>
      </c>
      <c r="B5" s="19" t="s">
        <v>154</v>
      </c>
    </row>
    <row r="6" customFormat="false" ht="39.75" hidden="false" customHeight="true" outlineLevel="0" collapsed="false">
      <c r="A6" s="4" t="s">
        <v>155</v>
      </c>
      <c r="B6" s="19" t="s">
        <v>156</v>
      </c>
    </row>
    <row r="7" customFormat="false" ht="39.75" hidden="false" customHeight="true" outlineLevel="0" collapsed="false">
      <c r="A7" s="4" t="s">
        <v>157</v>
      </c>
      <c r="B7" s="19" t="s">
        <v>158</v>
      </c>
    </row>
    <row r="9" customFormat="false" ht="19.5" hidden="false" customHeight="true" outlineLevel="0" collapsed="false">
      <c r="A9" s="3" t="s">
        <v>159</v>
      </c>
      <c r="B9" s="3"/>
    </row>
    <row r="10" customFormat="false" ht="39.75" hidden="false" customHeight="true" outlineLevel="0" collapsed="false">
      <c r="A10" s="4" t="s">
        <v>153</v>
      </c>
      <c r="B10" s="19" t="s">
        <v>160</v>
      </c>
    </row>
    <row r="11" customFormat="false" ht="39.75" hidden="false" customHeight="true" outlineLevel="0" collapsed="false">
      <c r="A11" s="4" t="s">
        <v>155</v>
      </c>
      <c r="B11" s="19" t="s">
        <v>161</v>
      </c>
    </row>
    <row r="12" customFormat="false" ht="39.75" hidden="false" customHeight="true" outlineLevel="0" collapsed="false">
      <c r="A12" s="4" t="s">
        <v>162</v>
      </c>
      <c r="B12" s="19" t="s">
        <v>163</v>
      </c>
    </row>
    <row r="13" customFormat="false" ht="39.75" hidden="false" customHeight="true" outlineLevel="0" collapsed="false">
      <c r="A13" s="4" t="s">
        <v>164</v>
      </c>
      <c r="B13" s="19" t="s">
        <v>165</v>
      </c>
    </row>
    <row r="15" customFormat="false" ht="19.5" hidden="false" customHeight="true" outlineLevel="0" collapsed="false">
      <c r="A15" s="3" t="s">
        <v>166</v>
      </c>
      <c r="B15" s="3"/>
    </row>
    <row r="16" customFormat="false" ht="39.75" hidden="false" customHeight="true" outlineLevel="0" collapsed="false">
      <c r="A16" s="4" t="s">
        <v>153</v>
      </c>
      <c r="B16" s="19" t="s">
        <v>167</v>
      </c>
    </row>
    <row r="17" customFormat="false" ht="39.75" hidden="false" customHeight="true" outlineLevel="0" collapsed="false">
      <c r="A17" s="4" t="s">
        <v>155</v>
      </c>
      <c r="B17" s="19" t="s">
        <v>168</v>
      </c>
    </row>
    <row r="18" customFormat="false" ht="39.75" hidden="false" customHeight="true" outlineLevel="0" collapsed="false">
      <c r="A18" s="4" t="s">
        <v>169</v>
      </c>
      <c r="B18" s="19" t="s">
        <v>170</v>
      </c>
    </row>
    <row r="19" customFormat="false" ht="39.75" hidden="false" customHeight="true" outlineLevel="0" collapsed="false">
      <c r="A19" s="4" t="s">
        <v>171</v>
      </c>
      <c r="B19" s="19" t="s">
        <v>172</v>
      </c>
    </row>
    <row r="21" customFormat="false" ht="18" hidden="false" customHeight="true" outlineLevel="0" collapsed="false">
      <c r="A21" s="3" t="s">
        <v>173</v>
      </c>
      <c r="B21" s="3"/>
    </row>
    <row r="22" customFormat="false" ht="99.75" hidden="false" customHeight="true" outlineLevel="0" collapsed="false">
      <c r="A22" s="4" t="s">
        <v>174</v>
      </c>
      <c r="B22" s="19" t="s">
        <v>175</v>
      </c>
    </row>
    <row r="23" customFormat="false" ht="99.75" hidden="false" customHeight="true" outlineLevel="0" collapsed="false">
      <c r="A23" s="4" t="s">
        <v>176</v>
      </c>
      <c r="B23" s="19" t="s">
        <v>177</v>
      </c>
    </row>
    <row r="24" customFormat="false" ht="99.75" hidden="false" customHeight="true" outlineLevel="0" collapsed="false">
      <c r="A24" s="4" t="s">
        <v>178</v>
      </c>
      <c r="B24" s="19" t="s">
        <v>179</v>
      </c>
    </row>
  </sheetData>
  <mergeCells count="6">
    <mergeCell ref="A1:B1"/>
    <mergeCell ref="A2:B2"/>
    <mergeCell ref="A4:B4"/>
    <mergeCell ref="A9:B9"/>
    <mergeCell ref="A15:B15"/>
    <mergeCell ref="A21:B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2"/>
  </cols>
  <sheetData>
    <row r="1" customFormat="false" ht="18" hidden="false" customHeight="true" outlineLevel="0" collapsed="false">
      <c r="A1" s="1" t="s">
        <v>180</v>
      </c>
      <c r="B1" s="1"/>
    </row>
    <row r="2" customFormat="false" ht="18" hidden="false" customHeight="true" outlineLevel="0" collapsed="false">
      <c r="A2" s="2" t="s">
        <v>181</v>
      </c>
      <c r="B2" s="2"/>
    </row>
    <row r="4" customFormat="false" ht="18" hidden="false" customHeight="true" outlineLevel="0" collapsed="false">
      <c r="A4" s="3" t="s">
        <v>182</v>
      </c>
      <c r="B4" s="3"/>
    </row>
    <row r="5" customFormat="false" ht="79.5" hidden="false" customHeight="true" outlineLevel="0" collapsed="false">
      <c r="A5" s="20" t="s">
        <v>183</v>
      </c>
      <c r="B5" s="19" t="s">
        <v>184</v>
      </c>
    </row>
    <row r="6" customFormat="false" ht="79.5" hidden="false" customHeight="true" outlineLevel="0" collapsed="false">
      <c r="A6" s="20" t="s">
        <v>185</v>
      </c>
      <c r="B6" s="19" t="s">
        <v>186</v>
      </c>
    </row>
    <row r="7" customFormat="false" ht="79.5" hidden="false" customHeight="true" outlineLevel="0" collapsed="false">
      <c r="A7" s="20" t="s">
        <v>187</v>
      </c>
      <c r="B7" s="19" t="s">
        <v>188</v>
      </c>
    </row>
    <row r="8" customFormat="false" ht="79.5" hidden="false" customHeight="true" outlineLevel="0" collapsed="false">
      <c r="A8" s="20" t="s">
        <v>189</v>
      </c>
      <c r="B8" s="19" t="s">
        <v>190</v>
      </c>
    </row>
    <row r="9" customFormat="false" ht="79.5" hidden="false" customHeight="true" outlineLevel="0" collapsed="false">
      <c r="A9" s="20" t="s">
        <v>191</v>
      </c>
      <c r="B9" s="19" t="s">
        <v>192</v>
      </c>
    </row>
    <row r="11" customFormat="false" ht="18" hidden="false" customHeight="true" outlineLevel="0" collapsed="false">
      <c r="A11" s="3" t="s">
        <v>193</v>
      </c>
      <c r="B11" s="3"/>
    </row>
    <row r="12" customFormat="false" ht="15" hidden="false" customHeight="false" outlineLevel="0" collapsed="false">
      <c r="A12" s="21" t="s">
        <v>194</v>
      </c>
      <c r="B12" s="7" t="s">
        <v>195</v>
      </c>
    </row>
    <row r="13" customFormat="false" ht="15" hidden="false" customHeight="false" outlineLevel="0" collapsed="false">
      <c r="A13" s="21" t="s">
        <v>196</v>
      </c>
      <c r="B13" s="7" t="s">
        <v>197</v>
      </c>
    </row>
    <row r="14" customFormat="false" ht="15" hidden="false" customHeight="false" outlineLevel="0" collapsed="false">
      <c r="A14" s="21" t="s">
        <v>198</v>
      </c>
      <c r="B14" s="7" t="s">
        <v>199</v>
      </c>
    </row>
    <row r="15" customFormat="false" ht="15" hidden="false" customHeight="false" outlineLevel="0" collapsed="false">
      <c r="A15" s="21" t="s">
        <v>200</v>
      </c>
      <c r="B15" s="7" t="s">
        <v>201</v>
      </c>
    </row>
    <row r="17" customFormat="false" ht="18" hidden="false" customHeight="true" outlineLevel="0" collapsed="false">
      <c r="A17" s="3" t="s">
        <v>202</v>
      </c>
      <c r="B17" s="3"/>
    </row>
    <row r="18" customFormat="false" ht="99.75" hidden="false" customHeight="true" outlineLevel="0" collapsed="false">
      <c r="A18" s="22" t="s">
        <v>203</v>
      </c>
      <c r="B18" s="22"/>
    </row>
    <row r="20" customFormat="false" ht="18" hidden="false" customHeight="true" outlineLevel="0" collapsed="false">
      <c r="A20" s="3" t="s">
        <v>204</v>
      </c>
      <c r="B20" s="3"/>
    </row>
    <row r="21" customFormat="false" ht="15" hidden="false" customHeight="false" outlineLevel="0" collapsed="false">
      <c r="A21" s="20" t="s">
        <v>205</v>
      </c>
      <c r="B21" s="21" t="s">
        <v>206</v>
      </c>
    </row>
    <row r="22" customFormat="false" ht="15" hidden="false" customHeight="false" outlineLevel="0" collapsed="false">
      <c r="A22" s="20" t="s">
        <v>207</v>
      </c>
      <c r="B22" s="21" t="s">
        <v>208</v>
      </c>
    </row>
    <row r="23" customFormat="false" ht="15" hidden="false" customHeight="false" outlineLevel="0" collapsed="false">
      <c r="A23" s="20" t="s">
        <v>209</v>
      </c>
      <c r="B23" s="21" t="s">
        <v>210</v>
      </c>
    </row>
    <row r="24" customFormat="false" ht="15" hidden="false" customHeight="false" outlineLevel="0" collapsed="false">
      <c r="A24" s="20" t="s">
        <v>211</v>
      </c>
      <c r="B24" s="21" t="s">
        <v>212</v>
      </c>
    </row>
    <row r="25" customFormat="false" ht="15" hidden="false" customHeight="false" outlineLevel="0" collapsed="false">
      <c r="A25" s="20" t="s">
        <v>213</v>
      </c>
      <c r="B25" s="21" t="s">
        <v>214</v>
      </c>
    </row>
  </sheetData>
  <mergeCells count="7">
    <mergeCell ref="A1:B1"/>
    <mergeCell ref="A2:B2"/>
    <mergeCell ref="A4:B4"/>
    <mergeCell ref="A11:B11"/>
    <mergeCell ref="A17:B17"/>
    <mergeCell ref="A18:B18"/>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2026-06-03T08:51:00Z</dcterms:created>
  <dc:creator>openpyxl</dc:creator>
  <dc:description/>
  <dc:language>en-US</dc:language>
  <cp:lastModifiedBy/>
  <dcterms:modified xsi:type="dcterms:W3CDTF">2026-06-03T08:51:00Z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